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3\Pictures\Report img\MS excel - dashboard\"/>
    </mc:Choice>
  </mc:AlternateContent>
  <xr:revisionPtr revIDLastSave="0" documentId="8_{96C7D77C-D339-43E8-BDF4-758D578B2242}" xr6:coauthVersionLast="47" xr6:coauthVersionMax="47" xr10:uidLastSave="{00000000-0000-0000-0000-000000000000}"/>
  <bookViews>
    <workbookView xWindow="-108" yWindow="-108" windowWidth="23256" windowHeight="12456" xr2:uid="{2715F16B-7447-4CDC-8D11-5DD6124CB66B}"/>
  </bookViews>
  <sheets>
    <sheet name="Weekly KPI" sheetId="5" r:id="rId1"/>
    <sheet name="Status Report" sheetId="2" r:id="rId2"/>
    <sheet name="Risk Log" sheetId="3" r:id="rId3"/>
    <sheet name="Trend Tracker" sheetId="4" r:id="rId4"/>
    <sheet name=" Dashboard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<sst xmlns="http://schemas.openxmlformats.org/spreadsheetml/2006/main" count="161" uniqueCount="111">
  <si>
    <t>Dhanflow — Weekly KPI Report</t>
  </si>
  <si>
    <t>Week: 25 May — 31 May 2026</t>
  </si>
  <si>
    <t>Metric</t>
  </si>
  <si>
    <t>Total Applications</t>
  </si>
  <si>
    <t>Total Disbursed</t>
  </si>
  <si>
    <t>Total Amount Disbursed</t>
  </si>
  <si>
    <t>Rejections</t>
  </si>
  <si>
    <t>Overdue Repayments</t>
  </si>
  <si>
    <t>KYC Pass Rate</t>
  </si>
  <si>
    <t>This Week</t>
  </si>
  <si>
    <t>Last Week</t>
  </si>
  <si>
    <t>Change</t>
  </si>
  <si>
    <t>Dhanflow — Weekly Status Report</t>
  </si>
  <si>
    <t>Task</t>
  </si>
  <si>
    <t>Owner</t>
  </si>
  <si>
    <t>Status</t>
  </si>
  <si>
    <t>Due Date</t>
  </si>
  <si>
    <t>Comments</t>
  </si>
  <si>
    <t>Loan Application Flow</t>
  </si>
  <si>
    <t>KYC Aadhaar Integration</t>
  </si>
  <si>
    <t>Credit Scoring Model</t>
  </si>
  <si>
    <t>Loan Approval Workflow</t>
  </si>
  <si>
    <t>Bank Transfer API</t>
  </si>
  <si>
    <t>EMI Repayment Tracker</t>
  </si>
  <si>
    <t>Repayment Dashboard</t>
  </si>
  <si>
    <t>Overdue Repayment Logic</t>
  </si>
  <si>
    <t>Program Documentation</t>
  </si>
  <si>
    <t>Engineering</t>
  </si>
  <si>
    <t>KYC PAN Integration</t>
  </si>
  <si>
    <t>PM Intern</t>
  </si>
  <si>
    <t>Product</t>
  </si>
  <si>
    <t>✅ Done</t>
  </si>
  <si>
    <t>🔄 In Progress</t>
  </si>
  <si>
    <t>🚨 Blocked</t>
  </si>
  <si>
    <t>⏳ To Do</t>
  </si>
  <si>
    <t>Completed on time</t>
  </si>
  <si>
    <t>80% complete</t>
  </si>
  <si>
    <t>70% complete</t>
  </si>
  <si>
    <t>Under review</t>
  </si>
  <si>
    <t>Pending sign off</t>
  </si>
  <si>
    <t>Starts next week</t>
  </si>
  <si>
    <t>Dependency on API</t>
  </si>
  <si>
    <t>Design pending</t>
  </si>
  <si>
    <t>Waiting for business rules</t>
  </si>
  <si>
    <t>60% complete</t>
  </si>
  <si>
    <t>Dhanflow — Risk Log</t>
  </si>
  <si>
    <t>Risk ID</t>
  </si>
  <si>
    <t>Risk Description</t>
  </si>
  <si>
    <t>Category</t>
  </si>
  <si>
    <t>Probability</t>
  </si>
  <si>
    <t>Impact</t>
  </si>
  <si>
    <t>Risk Level</t>
  </si>
  <si>
    <t>Mitigation Plan</t>
  </si>
  <si>
    <t>R001</t>
  </si>
  <si>
    <t>R002</t>
  </si>
  <si>
    <t>R003</t>
  </si>
  <si>
    <t>R004</t>
  </si>
  <si>
    <t>R005</t>
  </si>
  <si>
    <t>R007</t>
  </si>
  <si>
    <t>R006</t>
  </si>
  <si>
    <t>Aadhaar API delay from vendor</t>
  </si>
  <si>
    <t>Low credit score borrowers applying</t>
  </si>
  <si>
    <t>Bank transfer API integration delay</t>
  </si>
  <si>
    <t>Overdue repayments increasing</t>
  </si>
  <si>
    <t>KYC failure rate above 20%</t>
  </si>
  <si>
    <t>Sprint delivery delay</t>
  </si>
  <si>
    <t>Incomplete documentation</t>
  </si>
  <si>
    <t>Program</t>
  </si>
  <si>
    <t>Technical</t>
  </si>
  <si>
    <t>Compliance</t>
  </si>
  <si>
    <t>Financial</t>
  </si>
  <si>
    <t>Business</t>
  </si>
  <si>
    <t>High</t>
  </si>
  <si>
    <t>Medium</t>
  </si>
  <si>
    <t>Low</t>
  </si>
  <si>
    <r>
      <rPr>
        <sz val="11"/>
        <color theme="5" tint="-0.499984740745262"/>
        <rFont val="Calibri"/>
        <family val="2"/>
        <scheme val="minor"/>
      </rPr>
      <t>🟠</t>
    </r>
    <r>
      <rPr>
        <sz val="11"/>
        <color theme="1"/>
        <rFont val="Calibri"/>
        <family val="2"/>
        <scheme val="minor"/>
      </rPr>
      <t xml:space="preserve"> High</t>
    </r>
  </si>
  <si>
    <r>
      <rPr>
        <sz val="11"/>
        <color rgb="FFC00000"/>
        <rFont val="Calibri"/>
        <family val="2"/>
        <scheme val="minor"/>
      </rPr>
      <t>🔴</t>
    </r>
    <r>
      <rPr>
        <sz val="11"/>
        <color theme="1"/>
        <rFont val="Calibri"/>
        <family val="2"/>
        <scheme val="minor"/>
      </rPr>
      <t xml:space="preserve"> Critical</t>
    </r>
  </si>
  <si>
    <r>
      <rPr>
        <sz val="11"/>
        <color rgb="FFC00000"/>
        <rFont val="Calibri"/>
        <family val="2"/>
        <scheme val="minor"/>
      </rPr>
      <t xml:space="preserve">🔴 </t>
    </r>
    <r>
      <rPr>
        <sz val="11"/>
        <color theme="1"/>
        <rFont val="Calibri"/>
        <family val="2"/>
        <scheme val="minor"/>
      </rPr>
      <t>Critical</t>
    </r>
  </si>
  <si>
    <r>
      <rPr>
        <sz val="11"/>
        <color rgb="FFFFC000"/>
        <rFont val="Calibri"/>
        <family val="2"/>
        <scheme val="minor"/>
      </rPr>
      <t>🟡</t>
    </r>
    <r>
      <rPr>
        <sz val="11"/>
        <color theme="1"/>
        <rFont val="Calibri"/>
        <family val="2"/>
        <scheme val="minor"/>
      </rPr>
      <t xml:space="preserve"> Medium</t>
    </r>
  </si>
  <si>
    <r>
      <rPr>
        <sz val="11"/>
        <color rgb="FF00B050"/>
        <rFont val="Calibri"/>
        <family val="2"/>
        <scheme val="minor"/>
      </rPr>
      <t>🟢</t>
    </r>
    <r>
      <rPr>
        <sz val="11"/>
        <color theme="1"/>
        <rFont val="Calibri"/>
        <family val="2"/>
        <scheme val="minor"/>
      </rPr>
      <t xml:space="preserve"> Low</t>
    </r>
  </si>
  <si>
    <t>Identify backup KYC vendor</t>
  </si>
  <si>
    <t>Tighten eligibility criteria</t>
  </si>
  <si>
    <t>Start parallel testing early</t>
  </si>
  <si>
    <t>Send reminders 3 days before due date</t>
  </si>
  <si>
    <t>Add clearer KYC instructions in app</t>
  </si>
  <si>
    <t>Daily standups to track progress</t>
  </si>
  <si>
    <t>Allocate 1 hour daily for docs</t>
  </si>
  <si>
    <t>Engineering Lead</t>
  </si>
  <si>
    <t>Product Manager</t>
  </si>
  <si>
    <t>Business Team</t>
  </si>
  <si>
    <t>Open</t>
  </si>
  <si>
    <t>In Progress</t>
  </si>
  <si>
    <t>Dhanflow — Weekly Trend Tracker</t>
  </si>
  <si>
    <t>January 2026 — May 2026</t>
  </si>
  <si>
    <t>Month</t>
  </si>
  <si>
    <t>Total Amount</t>
  </si>
  <si>
    <t>Disbursed</t>
  </si>
  <si>
    <t>Rejected</t>
  </si>
  <si>
    <t>Pending</t>
  </si>
  <si>
    <t>Disbursement Rate</t>
  </si>
  <si>
    <t>Dhanflow — Weekly Ops Dashboard</t>
  </si>
  <si>
    <t xml:space="preserve"> </t>
  </si>
  <si>
    <t>Total Apps</t>
  </si>
  <si>
    <t>Overdue</t>
  </si>
  <si>
    <t>Count</t>
  </si>
  <si>
    <t xml:space="preserve">Critical </t>
  </si>
  <si>
    <t xml:space="preserve">High </t>
  </si>
  <si>
    <t xml:space="preserve"> Medium </t>
  </si>
  <si>
    <t xml:space="preserve">Done </t>
  </si>
  <si>
    <t>To Do</t>
  </si>
  <si>
    <t xml:space="preserve"> Blocked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</si>
</sst>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9" fontId="0" fillId="0" borderId="0" xfId="0" applyNumberFormat="1"/>
    <xf numFmtId="0" fontId="5" fillId="0" borderId="0" xfId="0" applyFont="1"/>
    <xf numFmtId="0" fontId="0" fillId="3" borderId="0" xfId="0" applyFill="1"/>
    <xf numFmtId="0" fontId="0" fillId="4" borderId="0" xfId="0" applyFill="1"/>
    <xf numFmtId="0" fontId="6" fillId="5" borderId="0" xfId="0" applyFont="1" applyFill="1"/>
    <xf numFmtId="0" fontId="1" fillId="5" borderId="0" xfId="0" applyFont="1" applyFill="1"/>
    <xf numFmtId="0" fontId="6" fillId="6" borderId="0" xfId="0" applyFont="1" applyFill="1"/>
    <xf numFmtId="0" fontId="1" fillId="8" borderId="0" xfId="0" applyFont="1" applyFill="1"/>
    <xf numFmtId="14" fontId="0" fillId="0" borderId="0" xfId="0" applyNumberFormat="1"/>
    <xf numFmtId="0" fontId="0" fillId="6" borderId="0" xfId="0" applyFill="1"/>
    <xf numFmtId="0" fontId="2" fillId="9" borderId="0" xfId="0" applyFont="1" applyFill="1"/>
    <xf numFmtId="0" fontId="6" fillId="7" borderId="0" xfId="0" applyFont="1" applyFill="1"/>
    <xf numFmtId="17" fontId="0" fillId="0" borderId="0" xfId="0" applyNumberFormat="1"/>
    <xf numFmtId="9" fontId="0" fillId="4" borderId="0" xfId="0" applyNumberFormat="1" applyFill="1"/>
    <xf numFmtId="0" fontId="2" fillId="12" borderId="0" xfId="0" applyFont="1" applyFill="1"/>
    <xf numFmtId="0" fontId="6" fillId="9" borderId="0" xfId="0" applyFont="1" applyFill="1"/>
    <xf numFmtId="0" fontId="2" fillId="6" borderId="0" xfId="0" applyFont="1" applyFill="1"/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TRACKER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'Trend Tracker'!$B$5:$G$5</c:f>
              <c:strCache>
                <c:ptCount val="6"/>
                <c:pt idx="0">
                  <c:v>Total Applications</c:v>
                </c:pt>
                <c:pt idx="1">
                  <c:v>Total Amount</c:v>
                </c:pt>
                <c:pt idx="2">
                  <c:v>Disbursed</c:v>
                </c:pt>
                <c:pt idx="3">
                  <c:v>Rejected</c:v>
                </c:pt>
                <c:pt idx="4">
                  <c:v>Pending</c:v>
                </c:pt>
                <c:pt idx="5">
                  <c:v>Disbursement Rate</c:v>
                </c:pt>
              </c:strCache>
            </c:strRef>
          </c:cat>
          <c:val>
            <c:numRef>
              <c:f>'Trend Tracker'!$B$6:$G$6</c:f>
              <c:numCache>
                <c:formatCode>General</c:formatCode>
                <c:ptCount val="6"/>
                <c:pt idx="0">
                  <c:v>4</c:v>
                </c:pt>
                <c:pt idx="1">
                  <c:v>250000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 formatCode="0%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E-4E8E-9446-462B741B35A7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'Trend Tracker'!$B$5:$G$5</c:f>
              <c:strCache>
                <c:ptCount val="6"/>
                <c:pt idx="0">
                  <c:v>Total Applications</c:v>
                </c:pt>
                <c:pt idx="1">
                  <c:v>Total Amount</c:v>
                </c:pt>
                <c:pt idx="2">
                  <c:v>Disbursed</c:v>
                </c:pt>
                <c:pt idx="3">
                  <c:v>Rejected</c:v>
                </c:pt>
                <c:pt idx="4">
                  <c:v>Pending</c:v>
                </c:pt>
                <c:pt idx="5">
                  <c:v>Disbursement Rate</c:v>
                </c:pt>
              </c:strCache>
            </c:strRef>
          </c:cat>
          <c:val>
            <c:numRef>
              <c:f>'Trend Tracker'!$B$7:$G$7</c:f>
              <c:numCache>
                <c:formatCode>General</c:formatCode>
                <c:ptCount val="6"/>
                <c:pt idx="0">
                  <c:v>4</c:v>
                </c:pt>
                <c:pt idx="1">
                  <c:v>300000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 formatCode="0%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E-4E8E-9446-462B741B35A7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'Trend Tracker'!$B$5:$G$5</c:f>
              <c:strCache>
                <c:ptCount val="6"/>
                <c:pt idx="0">
                  <c:v>Total Applications</c:v>
                </c:pt>
                <c:pt idx="1">
                  <c:v>Total Amount</c:v>
                </c:pt>
                <c:pt idx="2">
                  <c:v>Disbursed</c:v>
                </c:pt>
                <c:pt idx="3">
                  <c:v>Rejected</c:v>
                </c:pt>
                <c:pt idx="4">
                  <c:v>Pending</c:v>
                </c:pt>
                <c:pt idx="5">
                  <c:v>Disbursement Rate</c:v>
                </c:pt>
              </c:strCache>
            </c:strRef>
          </c:cat>
          <c:val>
            <c:numRef>
              <c:f>'Trend Tracker'!$B$8:$G$8</c:f>
              <c:numCache>
                <c:formatCode>General</c:formatCode>
                <c:ptCount val="6"/>
                <c:pt idx="0">
                  <c:v>3</c:v>
                </c:pt>
                <c:pt idx="1">
                  <c:v>350000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 formatCode="0%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FE-4E8E-9446-462B741B35A7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'Trend Tracker'!$B$5:$G$5</c:f>
              <c:strCache>
                <c:ptCount val="6"/>
                <c:pt idx="0">
                  <c:v>Total Applications</c:v>
                </c:pt>
                <c:pt idx="1">
                  <c:v>Total Amount</c:v>
                </c:pt>
                <c:pt idx="2">
                  <c:v>Disbursed</c:v>
                </c:pt>
                <c:pt idx="3">
                  <c:v>Rejected</c:v>
                </c:pt>
                <c:pt idx="4">
                  <c:v>Pending</c:v>
                </c:pt>
                <c:pt idx="5">
                  <c:v>Disbursement Rate</c:v>
                </c:pt>
              </c:strCache>
            </c:strRef>
          </c:cat>
          <c:val>
            <c:numRef>
              <c:f>'Trend Tracker'!$B$9:$G$9</c:f>
              <c:numCache>
                <c:formatCode>General</c:formatCode>
                <c:ptCount val="6"/>
                <c:pt idx="0">
                  <c:v>3</c:v>
                </c:pt>
                <c:pt idx="1">
                  <c:v>370000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 formatCode="0%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FE-4E8E-9446-462B741B35A7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'Trend Tracker'!$B$5:$G$5</c:f>
              <c:strCache>
                <c:ptCount val="6"/>
                <c:pt idx="0">
                  <c:v>Total Applications</c:v>
                </c:pt>
                <c:pt idx="1">
                  <c:v>Total Amount</c:v>
                </c:pt>
                <c:pt idx="2">
                  <c:v>Disbursed</c:v>
                </c:pt>
                <c:pt idx="3">
                  <c:v>Rejected</c:v>
                </c:pt>
                <c:pt idx="4">
                  <c:v>Pending</c:v>
                </c:pt>
                <c:pt idx="5">
                  <c:v>Disbursement Rate</c:v>
                </c:pt>
              </c:strCache>
            </c:strRef>
          </c:cat>
          <c:val>
            <c:numRef>
              <c:f>'Trend Tracker'!$B$10:$G$10</c:f>
              <c:numCache>
                <c:formatCode>General</c:formatCode>
                <c:ptCount val="6"/>
                <c:pt idx="0">
                  <c:v>1</c:v>
                </c:pt>
                <c:pt idx="1">
                  <c:v>140000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FE-4E8E-9446-462B741B3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361743"/>
        <c:axId val="1346360303"/>
      </c:lineChart>
      <c:catAx>
        <c:axId val="13463617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60303"/>
        <c:crosses val="autoZero"/>
        <c:auto val="1"/>
        <c:lblAlgn val="ctr"/>
        <c:lblOffset val="100"/>
        <c:noMultiLvlLbl val="0"/>
      </c:catAx>
      <c:valAx>
        <c:axId val="13463603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6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Loan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Tracker'!$B$5</c:f>
              <c:strCache>
                <c:ptCount val="1"/>
                <c:pt idx="0">
                  <c:v>Total Applications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Tracker'!$B$6:$B$10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7-4B4E-B7B1-0E3ED9EAFE24}"/>
            </c:ext>
          </c:extLst>
        </c:ser>
        <c:ser>
          <c:idx val="1"/>
          <c:order val="1"/>
          <c:tx>
            <c:strRef>
              <c:f>'Trend Tracker'!$C$5</c:f>
              <c:strCache>
                <c:ptCount val="1"/>
                <c:pt idx="0">
                  <c:v>Total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Tracker'!$C$6:$C$10</c:f>
              <c:numCache>
                <c:formatCode>General</c:formatCode>
                <c:ptCount val="5"/>
                <c:pt idx="0">
                  <c:v>250000</c:v>
                </c:pt>
                <c:pt idx="1">
                  <c:v>300000</c:v>
                </c:pt>
                <c:pt idx="2">
                  <c:v>350000</c:v>
                </c:pt>
                <c:pt idx="3">
                  <c:v>370000</c:v>
                </c:pt>
                <c:pt idx="4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7-4B4E-B7B1-0E3ED9EAFE24}"/>
            </c:ext>
          </c:extLst>
        </c:ser>
        <c:ser>
          <c:idx val="2"/>
          <c:order val="2"/>
          <c:tx>
            <c:strRef>
              <c:f>'Trend Tracker'!$D$5</c:f>
              <c:strCache>
                <c:ptCount val="1"/>
                <c:pt idx="0">
                  <c:v>Disbursed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Tracker'!$D$6:$D$10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F7-4B4E-B7B1-0E3ED9EAFE24}"/>
            </c:ext>
          </c:extLst>
        </c:ser>
        <c:ser>
          <c:idx val="3"/>
          <c:order val="3"/>
          <c:tx>
            <c:strRef>
              <c:f>'Trend Tracker'!$E$5</c:f>
              <c:strCache>
                <c:ptCount val="1"/>
                <c:pt idx="0">
                  <c:v>Rejected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Tracker'!$E$6:$E$10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F7-4B4E-B7B1-0E3ED9EAFE24}"/>
            </c:ext>
          </c:extLst>
        </c:ser>
        <c:ser>
          <c:idx val="4"/>
          <c:order val="4"/>
          <c:tx>
            <c:strRef>
              <c:f>'Trend Tracker'!$F$5</c:f>
              <c:strCache>
                <c:ptCount val="1"/>
                <c:pt idx="0">
                  <c:v>Pending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Tracker'!$F$6:$F$10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F7-4B4E-B7B1-0E3ED9EAFE24}"/>
            </c:ext>
          </c:extLst>
        </c:ser>
        <c:ser>
          <c:idx val="5"/>
          <c:order val="5"/>
          <c:tx>
            <c:strRef>
              <c:f>'Trend Tracker'!$G$5</c:f>
              <c:strCache>
                <c:ptCount val="1"/>
                <c:pt idx="0">
                  <c:v>Disbursement Rate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'Trend Tracker'!$A$6:$A$10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'Trend Tracker'!$G$6:$G$10</c:f>
              <c:numCache>
                <c:formatCode>0%</c:formatCode>
                <c:ptCount val="5"/>
                <c:pt idx="0">
                  <c:v>0.75</c:v>
                </c:pt>
                <c:pt idx="1">
                  <c:v>0.75</c:v>
                </c:pt>
                <c:pt idx="2">
                  <c:v>0.67</c:v>
                </c:pt>
                <c:pt idx="3">
                  <c:v>0.67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F7-4B4E-B7B1-0E3ED9EAF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340575"/>
        <c:axId val="1799333855"/>
      </c:lineChart>
      <c:dateAx>
        <c:axId val="17993405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333855"/>
        <c:crosses val="autoZero"/>
        <c:auto val="1"/>
        <c:lblOffset val="100"/>
        <c:baseTimeUnit val="months"/>
      </c:dateAx>
      <c:valAx>
        <c:axId val="17993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3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Amount Disbursed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('Trend Tracker'!$C$5,'Trend Tracker'!$G$5)</c:f>
              <c:strCache>
                <c:ptCount val="2"/>
                <c:pt idx="0">
                  <c:v>Total Amount</c:v>
                </c:pt>
                <c:pt idx="1">
                  <c:v>Disbursement Rate</c:v>
                </c:pt>
              </c:strCache>
            </c:strRef>
          </c:cat>
          <c:val>
            <c:numRef>
              <c:f>('Trend Tracker'!$C$6,'Trend Tracker'!$G$6)</c:f>
              <c:numCache>
                <c:formatCode>0%</c:formatCode>
                <c:ptCount val="2"/>
                <c:pt idx="0" formatCode="General">
                  <c:v>250000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4-4B83-B4CC-D21186F7595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('Trend Tracker'!$C$5,'Trend Tracker'!$G$5)</c:f>
              <c:strCache>
                <c:ptCount val="2"/>
                <c:pt idx="0">
                  <c:v>Total Amount</c:v>
                </c:pt>
                <c:pt idx="1">
                  <c:v>Disbursement Rate</c:v>
                </c:pt>
              </c:strCache>
            </c:strRef>
          </c:cat>
          <c:val>
            <c:numRef>
              <c:f>('Trend Tracker'!$C$7,'Trend Tracker'!$G$7)</c:f>
              <c:numCache>
                <c:formatCode>0%</c:formatCode>
                <c:ptCount val="2"/>
                <c:pt idx="0" formatCode="General">
                  <c:v>300000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4-4B83-B4CC-D21186F7595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('Trend Tracker'!$C$5,'Trend Tracker'!$G$5)</c:f>
              <c:strCache>
                <c:ptCount val="2"/>
                <c:pt idx="0">
                  <c:v>Total Amount</c:v>
                </c:pt>
                <c:pt idx="1">
                  <c:v>Disbursement Rate</c:v>
                </c:pt>
              </c:strCache>
            </c:strRef>
          </c:cat>
          <c:val>
            <c:numRef>
              <c:f>('Trend Tracker'!$C$8,'Trend Tracker'!$G$8)</c:f>
              <c:numCache>
                <c:formatCode>0%</c:formatCode>
                <c:ptCount val="2"/>
                <c:pt idx="0" formatCode="General">
                  <c:v>350000</c:v>
                </c:pt>
                <c:pt idx="1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4-4B83-B4CC-D21186F7595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('Trend Tracker'!$C$5,'Trend Tracker'!$G$5)</c:f>
              <c:strCache>
                <c:ptCount val="2"/>
                <c:pt idx="0">
                  <c:v>Total Amount</c:v>
                </c:pt>
                <c:pt idx="1">
                  <c:v>Disbursement Rate</c:v>
                </c:pt>
              </c:strCache>
            </c:strRef>
          </c:cat>
          <c:val>
            <c:numRef>
              <c:f>('Trend Tracker'!$C$9,'Trend Tracker'!$G$9)</c:f>
              <c:numCache>
                <c:formatCode>0%</c:formatCode>
                <c:ptCount val="2"/>
                <c:pt idx="0" formatCode="General">
                  <c:v>370000</c:v>
                </c:pt>
                <c:pt idx="1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E4-4B83-B4CC-D21186F7595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('Trend Tracker'!$C$5,'Trend Tracker'!$G$5)</c:f>
              <c:strCache>
                <c:ptCount val="2"/>
                <c:pt idx="0">
                  <c:v>Total Amount</c:v>
                </c:pt>
                <c:pt idx="1">
                  <c:v>Disbursement Rate</c:v>
                </c:pt>
              </c:strCache>
            </c:strRef>
          </c:cat>
          <c:val>
            <c:numRef>
              <c:f>('Trend Tracker'!$C$10,'Trend Tracker'!$G$10)</c:f>
              <c:numCache>
                <c:formatCode>0%</c:formatCode>
                <c:ptCount val="2"/>
                <c:pt idx="0" formatCode="General">
                  <c:v>140000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E4-4B83-B4CC-D21186F7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387663"/>
        <c:axId val="1346388143"/>
      </c:barChart>
      <c:catAx>
        <c:axId val="13463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88143"/>
        <c:crosses val="autoZero"/>
        <c:auto val="1"/>
        <c:lblAlgn val="ctr"/>
        <c:lblOffset val="100"/>
        <c:noMultiLvlLbl val="0"/>
      </c:catAx>
      <c:valAx>
        <c:axId val="13463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8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'Risk Log'!$B$15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4E-4034-94CE-2E37AF9458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4E-4034-94CE-2E37AF9458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4E-4034-94CE-2E37AF9458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4E-4034-94CE-2E37AF94587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'Risk Log'!$A$16:$A$19</c:f>
              <c:strCache>
                <c:ptCount val="4"/>
                <c:pt idx="0">
                  <c:v>Critical </c:v>
                </c:pt>
                <c:pt idx="1">
                  <c:v>High </c:v>
                </c:pt>
                <c:pt idx="2">
                  <c:v> Medium </c:v>
                </c:pt>
                <c:pt idx="3">
                  <c:v>Low</c:v>
                </c:pt>
              </c:strCache>
            </c:strRef>
          </c:cat>
          <c:val>
            <c:numRef>
              <c:f>'Risk Log'!$B$16:$B$19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4E-4034-94CE-2E37AF9458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Task Status Overview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'Status Report'!$B$18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'Status Report'!$A$19:$A$22</c:f>
              <c:strCache>
                <c:ptCount val="4"/>
                <c:pt idx="0">
                  <c:v>Done </c:v>
                </c:pt>
                <c:pt idx="1">
                  <c:v>In Progress</c:v>
                </c:pt>
                <c:pt idx="2">
                  <c:v>To Do</c:v>
                </c:pt>
                <c:pt idx="3">
                  <c:v> Blocked </c:v>
                </c:pt>
              </c:strCache>
            </c:strRef>
          </c:cat>
          <c:val>
            <c:numRef>
              <c:f>'Status Report'!$B$19:$B$22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5-4A2C-A746-5ACE750BB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8699583"/>
        <c:axId val="1523294975"/>
        <c:axId val="0"/>
      </c:bar3DChart>
      <c:catAx>
        <c:axId val="17386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94975"/>
        <c:crosses val="autoZero"/>
        <c:auto val="1"/>
        <c:lblAlgn val="ctr"/>
        <c:lblOffset val="100"/>
        <c:noMultiLvlLbl val="0"/>
      </c:catAx>
      <c:valAx>
        <c:axId val="15232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9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3</xdr:row>
      <xdr:rowOff>171450</xdr:rowOff>
    </xdr:from>
    <xdr:to>
      <xdr:col>17</xdr:col>
      <xdr:colOff>586740</xdr:colOff>
      <xdr:row>21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BC866D-C289-5DAD-F45C-E32DBEE12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746760</xdr:colOff>
      <xdr:row>6</xdr:row>
      <xdr:rowOff>11430</xdr:rowOff>
    </xdr:from>
    <xdr:to>
      <xdr:col>7</xdr:col>
      <xdr:colOff>601980</xdr:colOff>
      <xdr:row>21</xdr:row>
      <xdr:rowOff>11430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B92441E6-B44E-6785-07D0-03DE9582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</xdr:row>
      <xdr:rowOff>179070</xdr:rowOff>
    </xdr:from>
    <xdr:to>
      <xdr:col>19</xdr:col>
      <xdr:colOff>0</xdr:colOff>
      <xdr:row>20</xdr:row>
      <xdr:rowOff>179070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CA4B83EA-6930-D706-8C16-7CE055775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762000</xdr:colOff>
      <xdr:row>23</xdr:row>
      <xdr:rowOff>156210</xdr:rowOff>
    </xdr:from>
    <xdr:to>
      <xdr:col>8</xdr:col>
      <xdr:colOff>15240</xdr:colOff>
      <xdr:row>38</xdr:row>
      <xdr:rowOff>156210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8C810595-0B65-79EC-690A-A59637350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604354</xdr:colOff>
      <xdr:row>23</xdr:row>
      <xdr:rowOff>174270</xdr:rowOff>
    </xdr:from>
    <xdr:to>
      <xdr:col>19</xdr:col>
      <xdr:colOff>30479</xdr:colOff>
      <xdr:row>38</xdr:row>
      <xdr:rowOff>174270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E36922F-E3C0-97C3-6415-F9735D199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1DB4-92D4-4250-AA83-6608B7A86A1C}">
  <sheetPr>
    <tabColor theme="6" tint="-0.249977111117893"/>
  </sheetPr>
  <dimension ref="A1:W10"/>
  <sheetViews>
    <sheetView tabSelected="1" workbookViewId="0">
      <selection activeCell="I7" sqref="I7"/>
    </sheetView>
  </sheetViews>
  <sheetFormatPr defaultRowHeight="14.4" x14ac:dyDescent="0.3"/>
  <cols>
    <col min="1" max="1" width="28.77734375" customWidth="1"/>
    <col min="2" max="2" width="12.44140625" customWidth="1"/>
    <col min="3" max="3" width="12" customWidth="1"/>
    <col min="4" max="4" width="11.5546875" customWidth="1"/>
    <col min="22" max="22" width="8.88671875" customWidth="1"/>
  </cols>
  <sheetData>
    <row r="1" spans="1:23" ht="23.4" x14ac:dyDescent="0.4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6" x14ac:dyDescent="0.3">
      <c r="A2" s="7" t="s">
        <v>1</v>
      </c>
    </row>
    <row r="4" spans="1:23" ht="15.6" x14ac:dyDescent="0.3">
      <c r="A4" s="5" t="s">
        <v>2</v>
      </c>
      <c r="B4" s="6" t="s">
        <v>9</v>
      </c>
      <c r="C4" s="6" t="s">
        <v>10</v>
      </c>
      <c r="D4" s="6" t="s">
        <v>11</v>
      </c>
    </row>
    <row r="5" spans="1:23" ht="15.6" x14ac:dyDescent="0.3">
      <c r="A5" s="2" t="s">
        <v>3</v>
      </c>
      <c r="B5">
        <v>1</v>
      </c>
      <c r="C5">
        <v>3</v>
      </c>
      <c r="D5" s="3">
        <v>-2</v>
      </c>
    </row>
    <row r="6" spans="1:23" ht="15.6" x14ac:dyDescent="0.3">
      <c r="A6" s="2" t="s">
        <v>4</v>
      </c>
      <c r="B6">
        <v>1</v>
      </c>
      <c r="C6">
        <v>2</v>
      </c>
      <c r="D6" s="3">
        <v>-1</v>
      </c>
    </row>
    <row r="7" spans="1:23" ht="15.6" x14ac:dyDescent="0.3">
      <c r="A7" s="2" t="s">
        <v>5</v>
      </c>
      <c r="B7">
        <v>140000</v>
      </c>
      <c r="C7">
        <v>260000</v>
      </c>
      <c r="D7" s="3">
        <v>-120000</v>
      </c>
    </row>
    <row r="8" spans="1:23" ht="15.6" x14ac:dyDescent="0.3">
      <c r="A8" s="2" t="s">
        <v>6</v>
      </c>
      <c r="B8">
        <v>0</v>
      </c>
      <c r="C8">
        <v>1</v>
      </c>
      <c r="D8" s="3">
        <v>-1</v>
      </c>
    </row>
    <row r="9" spans="1:23" ht="15.6" x14ac:dyDescent="0.3">
      <c r="A9" s="2" t="s">
        <v>7</v>
      </c>
      <c r="B9">
        <v>5</v>
      </c>
      <c r="C9">
        <v>3</v>
      </c>
      <c r="D9" s="4">
        <v>2</v>
      </c>
    </row>
    <row r="10" spans="1:23" ht="15.6" x14ac:dyDescent="0.3">
      <c r="A10" s="2" t="s">
        <v>8</v>
      </c>
      <c r="B10" s="1">
        <v>0.8</v>
      </c>
      <c r="C10" s="1">
        <v>0.75</v>
      </c>
      <c r="D10" s="1">
        <v>0.05</v>
      </c>
    </row>
  </sheetData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F93F-FFCE-4828-B553-1F0270118FA0}">
  <sheetPr>
    <tabColor theme="7"/>
  </sheetPr>
  <dimension ref="A1:W22"/>
  <sheetViews>
    <sheetView zoomScale="94" workbookViewId="0">
      <selection activeCell="F12" sqref="F12"/>
    </sheetView>
  </sheetViews>
  <sheetFormatPr defaultRowHeight="14.4" x14ac:dyDescent="0.3"/>
  <cols>
    <col min="1" max="1" width="26.88671875" customWidth="1"/>
    <col min="2" max="2" width="16.44140625" customWidth="1"/>
    <col min="3" max="3" width="14.77734375" customWidth="1"/>
    <col min="4" max="4" width="11.21875" customWidth="1"/>
    <col min="5" max="5" width="22" bestFit="1" customWidth="1"/>
  </cols>
  <sheetData>
    <row r="1" spans="1:23" ht="23.4" x14ac:dyDescent="0.4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3" spans="1:23" x14ac:dyDescent="0.3">
      <c r="A3" s="8" t="s">
        <v>1</v>
      </c>
    </row>
    <row r="5" spans="1:23" ht="15.6" x14ac:dyDescent="0.3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</row>
    <row r="6" spans="1:23" x14ac:dyDescent="0.3">
      <c r="A6" t="s">
        <v>18</v>
      </c>
      <c r="B6" t="s">
        <v>27</v>
      </c>
      <c r="C6" t="s">
        <v>31</v>
      </c>
      <c r="D6" s="9">
        <v>46187</v>
      </c>
      <c r="E6" t="s">
        <v>35</v>
      </c>
      <c r="K6" t="s">
        <v>101</v>
      </c>
    </row>
    <row r="7" spans="1:23" x14ac:dyDescent="0.3">
      <c r="A7" t="s">
        <v>19</v>
      </c>
      <c r="B7" t="s">
        <v>27</v>
      </c>
      <c r="C7" t="s">
        <v>32</v>
      </c>
      <c r="D7" s="9">
        <v>46187</v>
      </c>
      <c r="E7" t="s">
        <v>36</v>
      </c>
    </row>
    <row r="8" spans="1:23" x14ac:dyDescent="0.3">
      <c r="A8" t="s">
        <v>28</v>
      </c>
      <c r="B8" t="s">
        <v>27</v>
      </c>
      <c r="C8" t="s">
        <v>32</v>
      </c>
      <c r="D8" s="9">
        <v>46187</v>
      </c>
      <c r="E8" t="s">
        <v>37</v>
      </c>
    </row>
    <row r="9" spans="1:23" x14ac:dyDescent="0.3">
      <c r="A9" t="s">
        <v>20</v>
      </c>
      <c r="B9" t="s">
        <v>30</v>
      </c>
      <c r="C9" t="s">
        <v>32</v>
      </c>
      <c r="D9" s="9">
        <v>46187</v>
      </c>
      <c r="E9" t="s">
        <v>38</v>
      </c>
    </row>
    <row r="10" spans="1:23" x14ac:dyDescent="0.3">
      <c r="A10" t="s">
        <v>21</v>
      </c>
      <c r="B10" t="s">
        <v>30</v>
      </c>
      <c r="C10" t="s">
        <v>32</v>
      </c>
      <c r="D10" s="9">
        <v>46187</v>
      </c>
      <c r="E10" t="s">
        <v>39</v>
      </c>
    </row>
    <row r="11" spans="1:23" x14ac:dyDescent="0.3">
      <c r="A11" t="s">
        <v>22</v>
      </c>
      <c r="B11" t="s">
        <v>27</v>
      </c>
      <c r="C11" t="s">
        <v>34</v>
      </c>
      <c r="D11" s="9">
        <v>46187</v>
      </c>
      <c r="E11" t="s">
        <v>40</v>
      </c>
    </row>
    <row r="12" spans="1:23" x14ac:dyDescent="0.3">
      <c r="A12" t="s">
        <v>23</v>
      </c>
      <c r="B12" t="s">
        <v>27</v>
      </c>
      <c r="C12" t="s">
        <v>34</v>
      </c>
      <c r="D12" s="9">
        <v>46187</v>
      </c>
      <c r="E12" t="s">
        <v>41</v>
      </c>
    </row>
    <row r="13" spans="1:23" x14ac:dyDescent="0.3">
      <c r="A13" t="s">
        <v>24</v>
      </c>
      <c r="B13" t="s">
        <v>30</v>
      </c>
      <c r="C13" t="s">
        <v>34</v>
      </c>
      <c r="D13" s="9">
        <v>46187</v>
      </c>
      <c r="E13" t="s">
        <v>42</v>
      </c>
    </row>
    <row r="14" spans="1:23" x14ac:dyDescent="0.3">
      <c r="A14" t="s">
        <v>25</v>
      </c>
      <c r="B14" t="s">
        <v>27</v>
      </c>
      <c r="C14" t="s">
        <v>33</v>
      </c>
      <c r="D14" s="9">
        <v>46187</v>
      </c>
      <c r="E14" t="s">
        <v>43</v>
      </c>
    </row>
    <row r="15" spans="1:23" x14ac:dyDescent="0.3">
      <c r="A15" t="s">
        <v>26</v>
      </c>
      <c r="B15" t="s">
        <v>29</v>
      </c>
      <c r="C15" t="s">
        <v>32</v>
      </c>
      <c r="D15" s="9">
        <v>46187</v>
      </c>
      <c r="E15" t="s">
        <v>44</v>
      </c>
    </row>
    <row r="18" spans="1:2" x14ac:dyDescent="0.3">
      <c r="A18" s="17" t="s">
        <v>15</v>
      </c>
      <c r="B18" s="17" t="s">
        <v>104</v>
      </c>
    </row>
    <row r="19" spans="1:2" x14ac:dyDescent="0.3">
      <c r="A19" t="s">
        <v>108</v>
      </c>
      <c r="B19">
        <v>1</v>
      </c>
    </row>
    <row r="20" spans="1:2" x14ac:dyDescent="0.3">
      <c r="A20" t="s">
        <v>91</v>
      </c>
      <c r="B20">
        <v>5</v>
      </c>
    </row>
    <row r="21" spans="1:2" x14ac:dyDescent="0.3">
      <c r="A21" t="s">
        <v>109</v>
      </c>
      <c r="B21">
        <v>3</v>
      </c>
    </row>
    <row r="22" spans="1:2" x14ac:dyDescent="0.3">
      <c r="A22" t="s">
        <v>110</v>
      </c>
      <c r="B22">
        <v>1</v>
      </c>
    </row>
  </sheetData>
  <mergeCells count="1">
    <mergeCell ref="A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9E22-D919-49F4-95E6-8D617E8C40D0}">
  <sheetPr>
    <tabColor theme="3" tint="-0.499984740745262"/>
  </sheetPr>
  <dimension ref="A1:W19"/>
  <sheetViews>
    <sheetView workbookViewId="0">
      <selection activeCell="D23" sqref="D23"/>
    </sheetView>
  </sheetViews>
  <sheetFormatPr defaultRowHeight="14.4" x14ac:dyDescent="0.3"/>
  <cols>
    <col min="1" max="1" width="26.21875" customWidth="1"/>
    <col min="2" max="2" width="30.77734375" customWidth="1"/>
    <col min="3" max="3" width="12.77734375" customWidth="1"/>
    <col min="4" max="4" width="14.33203125" customWidth="1"/>
    <col min="5" max="5" width="12.44140625" customWidth="1"/>
    <col min="6" max="6" width="14.21875" customWidth="1"/>
    <col min="7" max="7" width="33" bestFit="1" customWidth="1"/>
    <col min="8" max="8" width="15" customWidth="1"/>
    <col min="9" max="9" width="11.88671875" customWidth="1"/>
  </cols>
  <sheetData>
    <row r="1" spans="1:23" ht="23.4" x14ac:dyDescent="0.45">
      <c r="A1" s="20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3" spans="1:23" x14ac:dyDescent="0.3">
      <c r="A3" s="10" t="s">
        <v>1</v>
      </c>
    </row>
    <row r="5" spans="1:23" x14ac:dyDescent="0.3">
      <c r="A5" s="11" t="s">
        <v>46</v>
      </c>
      <c r="B5" s="11" t="s">
        <v>47</v>
      </c>
      <c r="C5" s="11" t="s">
        <v>48</v>
      </c>
      <c r="D5" s="11" t="s">
        <v>49</v>
      </c>
      <c r="E5" s="11" t="s">
        <v>50</v>
      </c>
      <c r="F5" s="11" t="s">
        <v>51</v>
      </c>
      <c r="G5" s="11" t="s">
        <v>52</v>
      </c>
      <c r="H5" s="11" t="s">
        <v>14</v>
      </c>
      <c r="I5" s="11" t="s">
        <v>15</v>
      </c>
    </row>
    <row r="6" spans="1:23" x14ac:dyDescent="0.3">
      <c r="A6" t="s">
        <v>53</v>
      </c>
      <c r="B6" t="s">
        <v>60</v>
      </c>
      <c r="C6" t="s">
        <v>68</v>
      </c>
      <c r="D6" t="s">
        <v>72</v>
      </c>
      <c r="E6" t="s">
        <v>72</v>
      </c>
      <c r="F6" t="s">
        <v>76</v>
      </c>
      <c r="G6" t="s">
        <v>80</v>
      </c>
      <c r="H6" t="s">
        <v>87</v>
      </c>
      <c r="I6" t="s">
        <v>90</v>
      </c>
    </row>
    <row r="7" spans="1:23" x14ac:dyDescent="0.3">
      <c r="A7" t="s">
        <v>54</v>
      </c>
      <c r="B7" t="s">
        <v>61</v>
      </c>
      <c r="C7" t="s">
        <v>71</v>
      </c>
      <c r="D7" t="s">
        <v>72</v>
      </c>
      <c r="E7" t="s">
        <v>73</v>
      </c>
      <c r="F7" t="s">
        <v>75</v>
      </c>
      <c r="G7" t="s">
        <v>81</v>
      </c>
      <c r="H7" t="s">
        <v>88</v>
      </c>
      <c r="I7" t="s">
        <v>90</v>
      </c>
    </row>
    <row r="8" spans="1:23" x14ac:dyDescent="0.3">
      <c r="A8" t="s">
        <v>55</v>
      </c>
      <c r="B8" t="s">
        <v>62</v>
      </c>
      <c r="C8" t="s">
        <v>68</v>
      </c>
      <c r="D8" t="s">
        <v>73</v>
      </c>
      <c r="E8" t="s">
        <v>72</v>
      </c>
      <c r="F8" t="s">
        <v>75</v>
      </c>
      <c r="G8" t="s">
        <v>82</v>
      </c>
      <c r="H8" t="s">
        <v>87</v>
      </c>
      <c r="I8" t="s">
        <v>90</v>
      </c>
    </row>
    <row r="9" spans="1:23" x14ac:dyDescent="0.3">
      <c r="A9" t="s">
        <v>56</v>
      </c>
      <c r="B9" t="s">
        <v>63</v>
      </c>
      <c r="C9" t="s">
        <v>70</v>
      </c>
      <c r="D9" t="s">
        <v>72</v>
      </c>
      <c r="E9" t="s">
        <v>72</v>
      </c>
      <c r="F9" t="s">
        <v>77</v>
      </c>
      <c r="G9" t="s">
        <v>83</v>
      </c>
      <c r="H9" t="s">
        <v>89</v>
      </c>
      <c r="I9" t="s">
        <v>91</v>
      </c>
    </row>
    <row r="10" spans="1:23" x14ac:dyDescent="0.3">
      <c r="A10" t="s">
        <v>57</v>
      </c>
      <c r="B10" t="s">
        <v>64</v>
      </c>
      <c r="C10" t="s">
        <v>69</v>
      </c>
      <c r="D10" t="s">
        <v>73</v>
      </c>
      <c r="E10" t="s">
        <v>72</v>
      </c>
      <c r="F10" t="s">
        <v>75</v>
      </c>
      <c r="G10" t="s">
        <v>84</v>
      </c>
      <c r="H10" t="s">
        <v>88</v>
      </c>
      <c r="I10" t="s">
        <v>90</v>
      </c>
    </row>
    <row r="11" spans="1:23" x14ac:dyDescent="0.3">
      <c r="A11" t="s">
        <v>59</v>
      </c>
      <c r="B11" t="s">
        <v>65</v>
      </c>
      <c r="C11" t="s">
        <v>67</v>
      </c>
      <c r="D11" t="s">
        <v>74</v>
      </c>
      <c r="E11" t="s">
        <v>73</v>
      </c>
      <c r="F11" t="s">
        <v>78</v>
      </c>
      <c r="G11" t="s">
        <v>85</v>
      </c>
      <c r="H11" t="s">
        <v>29</v>
      </c>
      <c r="I11" t="s">
        <v>90</v>
      </c>
    </row>
    <row r="12" spans="1:23" x14ac:dyDescent="0.3">
      <c r="A12" t="s">
        <v>58</v>
      </c>
      <c r="B12" t="s">
        <v>66</v>
      </c>
      <c r="C12" t="s">
        <v>67</v>
      </c>
      <c r="D12" t="s">
        <v>74</v>
      </c>
      <c r="E12" t="s">
        <v>74</v>
      </c>
      <c r="F12" t="s">
        <v>79</v>
      </c>
      <c r="G12" t="s">
        <v>86</v>
      </c>
      <c r="H12" t="s">
        <v>29</v>
      </c>
      <c r="I12" t="s">
        <v>90</v>
      </c>
    </row>
    <row r="15" spans="1:23" ht="15.6" x14ac:dyDescent="0.3">
      <c r="A15" s="16" t="s">
        <v>51</v>
      </c>
      <c r="B15" s="16" t="s">
        <v>104</v>
      </c>
    </row>
    <row r="16" spans="1:23" x14ac:dyDescent="0.3">
      <c r="A16" t="s">
        <v>105</v>
      </c>
      <c r="B16">
        <v>2</v>
      </c>
    </row>
    <row r="17" spans="1:2" x14ac:dyDescent="0.3">
      <c r="A17" t="s">
        <v>106</v>
      </c>
      <c r="B17">
        <v>3</v>
      </c>
    </row>
    <row r="18" spans="1:2" x14ac:dyDescent="0.3">
      <c r="A18" t="s">
        <v>107</v>
      </c>
      <c r="B18">
        <v>1</v>
      </c>
    </row>
    <row r="19" spans="1:2" x14ac:dyDescent="0.3">
      <c r="A19" t="s">
        <v>74</v>
      </c>
      <c r="B19">
        <v>1</v>
      </c>
    </row>
  </sheetData>
  <mergeCells count="1">
    <mergeCell ref="A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3C31-2C10-4250-B568-26CA21EF0403}">
  <sheetPr>
    <tabColor theme="9" tint="-0.499984740745262"/>
  </sheetPr>
  <dimension ref="A1:Y10"/>
  <sheetViews>
    <sheetView topLeftCell="C1" workbookViewId="0">
      <selection activeCell="D16" sqref="D16"/>
    </sheetView>
  </sheetViews>
  <sheetFormatPr defaultRowHeight="14.4" x14ac:dyDescent="0.3"/>
  <cols>
    <col min="2" max="2" width="18.109375" customWidth="1"/>
    <col min="3" max="3" width="15.44140625" customWidth="1"/>
    <col min="4" max="4" width="16.109375" customWidth="1"/>
    <col min="5" max="5" width="12.5546875" customWidth="1"/>
    <col min="6" max="6" width="12" customWidth="1"/>
    <col min="7" max="7" width="18.6640625" customWidth="1"/>
  </cols>
  <sheetData>
    <row r="1" spans="1:25" ht="23.4" x14ac:dyDescent="0.45">
      <c r="A1" s="22" t="s">
        <v>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3" spans="1:25" ht="15.6" x14ac:dyDescent="0.3">
      <c r="A3" s="24" t="s">
        <v>93</v>
      </c>
      <c r="B3" s="25"/>
      <c r="C3" s="25"/>
      <c r="D3" s="25"/>
      <c r="E3" s="25"/>
      <c r="F3" s="25"/>
    </row>
    <row r="5" spans="1:25" ht="15.6" x14ac:dyDescent="0.3">
      <c r="A5" s="12" t="s">
        <v>94</v>
      </c>
      <c r="B5" s="12" t="s">
        <v>3</v>
      </c>
      <c r="C5" s="12" t="s">
        <v>95</v>
      </c>
      <c r="D5" s="12" t="s">
        <v>96</v>
      </c>
      <c r="E5" s="12" t="s">
        <v>97</v>
      </c>
      <c r="F5" s="12" t="s">
        <v>98</v>
      </c>
      <c r="G5" s="12" t="s">
        <v>99</v>
      </c>
    </row>
    <row r="6" spans="1:25" x14ac:dyDescent="0.3">
      <c r="A6" s="13">
        <v>46023</v>
      </c>
      <c r="B6">
        <v>4</v>
      </c>
      <c r="C6">
        <v>250000</v>
      </c>
      <c r="D6">
        <v>3</v>
      </c>
      <c r="E6">
        <v>1</v>
      </c>
      <c r="F6">
        <v>0</v>
      </c>
      <c r="G6" s="14">
        <v>0.75</v>
      </c>
    </row>
    <row r="7" spans="1:25" x14ac:dyDescent="0.3">
      <c r="A7" s="13">
        <v>46054</v>
      </c>
      <c r="B7">
        <v>4</v>
      </c>
      <c r="C7">
        <v>300000</v>
      </c>
      <c r="D7">
        <v>3</v>
      </c>
      <c r="E7">
        <v>1</v>
      </c>
      <c r="F7">
        <v>0</v>
      </c>
      <c r="G7" s="14">
        <v>0.75</v>
      </c>
    </row>
    <row r="8" spans="1:25" x14ac:dyDescent="0.3">
      <c r="A8" s="13">
        <v>46082</v>
      </c>
      <c r="B8">
        <v>3</v>
      </c>
      <c r="C8">
        <v>350000</v>
      </c>
      <c r="D8">
        <v>2</v>
      </c>
      <c r="E8">
        <v>0</v>
      </c>
      <c r="F8">
        <v>1</v>
      </c>
      <c r="G8" s="14">
        <v>0.67</v>
      </c>
    </row>
    <row r="9" spans="1:25" x14ac:dyDescent="0.3">
      <c r="A9" s="13">
        <v>46113</v>
      </c>
      <c r="B9">
        <v>3</v>
      </c>
      <c r="C9">
        <v>370000</v>
      </c>
      <c r="D9">
        <v>2</v>
      </c>
      <c r="E9">
        <v>1</v>
      </c>
      <c r="F9">
        <v>1</v>
      </c>
      <c r="G9" s="14">
        <v>0.67</v>
      </c>
    </row>
    <row r="10" spans="1:25" x14ac:dyDescent="0.3">
      <c r="A10" s="13">
        <v>46143</v>
      </c>
      <c r="B10">
        <v>1</v>
      </c>
      <c r="C10">
        <v>140000</v>
      </c>
      <c r="D10">
        <v>1</v>
      </c>
      <c r="E10">
        <v>0</v>
      </c>
      <c r="F10">
        <v>0</v>
      </c>
      <c r="G10" s="14">
        <v>1</v>
      </c>
    </row>
  </sheetData>
  <mergeCells count="2">
    <mergeCell ref="A1:Y1"/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A251-9762-4E7F-B6A2-F9CE70243A26}">
  <sheetPr>
    <tabColor rgb="FF0070C0"/>
  </sheetPr>
  <dimension ref="A1:X4"/>
  <sheetViews>
    <sheetView topLeftCell="B1" workbookViewId="0">
      <selection activeCell="R27" sqref="R27"/>
    </sheetView>
  </sheetViews>
  <sheetFormatPr defaultRowHeight="14.4" x14ac:dyDescent="0.3"/>
  <cols>
    <col min="1" max="1" width="11.5546875" customWidth="1"/>
    <col min="2" max="2" width="11.44140625" customWidth="1"/>
    <col min="3" max="3" width="12.21875" customWidth="1"/>
    <col min="4" max="4" width="13.6640625" customWidth="1"/>
    <col min="5" max="5" width="13.5546875" customWidth="1"/>
  </cols>
  <sheetData>
    <row r="1" spans="1:24" ht="23.4" x14ac:dyDescent="0.45">
      <c r="A1" s="22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3" spans="1:24" x14ac:dyDescent="0.3">
      <c r="A3" s="15" t="s">
        <v>102</v>
      </c>
      <c r="B3" s="15" t="s">
        <v>96</v>
      </c>
      <c r="C3" s="15" t="s">
        <v>97</v>
      </c>
      <c r="D3" s="15" t="s">
        <v>103</v>
      </c>
      <c r="E3" s="15" t="s">
        <v>8</v>
      </c>
    </row>
    <row r="4" spans="1:24" x14ac:dyDescent="0.3">
      <c r="A4">
        <v>1</v>
      </c>
      <c r="B4">
        <v>1</v>
      </c>
      <c r="C4">
        <v>0</v>
      </c>
      <c r="D4">
        <v>5</v>
      </c>
      <c r="E4" s="1">
        <v>0.8</v>
      </c>
    </row>
  </sheetData>
  <mergeCells count="1">
    <mergeCell ref="A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KPI</vt:lpstr>
      <vt:lpstr>Status Report</vt:lpstr>
      <vt:lpstr>Risk Log</vt:lpstr>
      <vt:lpstr>Trend Tracker</vt:lpstr>
      <vt:lpstr>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poojary</dc:creator>
  <cp:lastModifiedBy>Ankitha poojary</cp:lastModifiedBy>
  <dcterms:created xsi:type="dcterms:W3CDTF">2026-06-01T09:43:58Z</dcterms:created>
  <dcterms:modified xsi:type="dcterms:W3CDTF">2026-06-03T08:17:56Z</dcterms:modified>
</cp:coreProperties>
</file>